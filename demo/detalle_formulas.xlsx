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Q1 2026" sheetId="1" r:id="rId1"/>
    <sheet name="Chart Venta-Meta" sheetId="2" r:id="rId2"/>
    <sheet name="Chart Cumplimiento" sheetId="3" r:id="rId3"/>
  </sheets>
  <definedNames>
    <definedName name="_xlnm._FilterDatabase" localSheetId="0" hidden="1">'Detalle Q1 2026'!$A$2:$N$22</definedName>
  </definedNames>
  <calcPr calcId="124519" fullCalcOnLoad="1"/>
</workbook>
</file>

<file path=xl/sharedStrings.xml><?xml version="1.0" encoding="utf-8"?>
<sst xmlns="http://schemas.openxmlformats.org/spreadsheetml/2006/main" count="141" uniqueCount="75">
  <si>
    <t>Reporte de Ventas Q1 2026</t>
  </si>
  <si>
    <t>categoria</t>
  </si>
  <si>
    <t>comision_pct</t>
  </si>
  <si>
    <t>cumplimiento</t>
  </si>
  <si>
    <t>estado</t>
  </si>
  <si>
    <t>id</t>
  </si>
  <si>
    <t>ingreso</t>
  </si>
  <si>
    <t>ingreso_quarter</t>
  </si>
  <si>
    <t>ingreso_year</t>
  </si>
  <si>
    <t>meses</t>
  </si>
  <si>
    <t>meta</t>
  </si>
  <si>
    <t>nombre</t>
  </si>
  <si>
    <t>producto</t>
  </si>
  <si>
    <t>region</t>
  </si>
  <si>
    <t>venta</t>
  </si>
  <si>
    <t>acumulado</t>
  </si>
  <si>
    <t>comision_usd</t>
  </si>
  <si>
    <t>ranking</t>
  </si>
  <si>
    <t>ratio_meta</t>
  </si>
  <si>
    <t>tier</t>
  </si>
  <si>
    <t>Senior</t>
  </si>
  <si>
    <t>Cumple</t>
  </si>
  <si>
    <t>2021-12-01</t>
  </si>
  <si>
    <t>Francisco Ríos</t>
  </si>
  <si>
    <t>DevOps Tools</t>
  </si>
  <si>
    <t>Centro</t>
  </si>
  <si>
    <t>2022-09-07</t>
  </si>
  <si>
    <t>Diego Herrera</t>
  </si>
  <si>
    <t>CRM Pro</t>
  </si>
  <si>
    <t>Mid</t>
  </si>
  <si>
    <t>Bajo meta</t>
  </si>
  <si>
    <t>2025-01-10</t>
  </si>
  <si>
    <t>Carlos Ruiz</t>
  </si>
  <si>
    <t>Security Pack</t>
  </si>
  <si>
    <t>Junior</t>
  </si>
  <si>
    <t>2025-03-05</t>
  </si>
  <si>
    <t>Javier Castro</t>
  </si>
  <si>
    <t>Analytics Suite</t>
  </si>
  <si>
    <t>2025-07-01</t>
  </si>
  <si>
    <t>Miguel Flores</t>
  </si>
  <si>
    <t>Cloud Storage</t>
  </si>
  <si>
    <t>2023-01-20</t>
  </si>
  <si>
    <t>Marta López</t>
  </si>
  <si>
    <t>Norte</t>
  </si>
  <si>
    <t>2024-01-15</t>
  </si>
  <si>
    <t>Ana García</t>
  </si>
  <si>
    <t>2023-07-08</t>
  </si>
  <si>
    <t>Isabel Torres</t>
  </si>
  <si>
    <t>2023-11-25</t>
  </si>
  <si>
    <t>Héctor Romero</t>
  </si>
  <si>
    <t>2024-10-22</t>
  </si>
  <si>
    <t>Roberto Silva</t>
  </si>
  <si>
    <t>2025-08-01</t>
  </si>
  <si>
    <t>Andrés Reyes</t>
  </si>
  <si>
    <t>2022-01-05</t>
  </si>
  <si>
    <t>Elena Díaz</t>
  </si>
  <si>
    <t>Oeste</t>
  </si>
  <si>
    <t>2022-07-15</t>
  </si>
  <si>
    <t>Laura Vega</t>
  </si>
  <si>
    <t>2023-09-19</t>
  </si>
  <si>
    <t>Patricia Mora</t>
  </si>
  <si>
    <t>2024-11-18</t>
  </si>
  <si>
    <t>Valentina Cruz</t>
  </si>
  <si>
    <t>2023-04-11</t>
  </si>
  <si>
    <t>Sofía Vargas</t>
  </si>
  <si>
    <t>Sur</t>
  </si>
  <si>
    <t>2024-03-14</t>
  </si>
  <si>
    <t>Carmen Medina</t>
  </si>
  <si>
    <t>2024-07-03</t>
  </si>
  <si>
    <t>Luis Martínez</t>
  </si>
  <si>
    <t>2025-05-12</t>
  </si>
  <si>
    <t>Pedro Sánchez</t>
  </si>
  <si>
    <t>2025-09-03</t>
  </si>
  <si>
    <t>Adriana Ponce</t>
  </si>
  <si>
    <t>TOTAL</t>
  </si>
</sst>
</file>

<file path=xl/styles.xml><?xml version="1.0" encoding="utf-8"?>
<styleSheet xmlns="http://schemas.openxmlformats.org/spreadsheetml/2006/main">
  <numFmts count="3">
    <numFmt numFmtId="164" formatCode="0&quot;%&quot;"/>
    <numFmt numFmtId="165" formatCode="0.0"/>
    <numFmt numFmtId="166" formatCode="#,##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0" xfId="0" applyFont="1" applyFill="1"/>
    <xf numFmtId="166" fontId="3" fillId="3" borderId="0" xfId="0" applyNumberFormat="1" applyFont="1" applyFill="1"/>
  </cellXfs>
  <cellStyles count="1">
    <cellStyle name="Normal" xfId="0" builtinId="0"/>
  </cellStyles>
  <dxfs count="5">
    <dxf>
      <font>
        <b/>
        <color rgb="FF1E8449"/>
      </font>
      <fill>
        <patternFill>
          <bgColor rgb="FFD5F5E3"/>
        </patternFill>
      </fill>
    </dxf>
    <dxf>
      <font>
        <color rgb="FF9A7D0A"/>
      </font>
      <fill>
        <patternFill>
          <bgColor rgb="FFFEF9E7"/>
        </patternFill>
      </fill>
    </dxf>
    <dxf>
      <font>
        <color rgb="FF922B21"/>
      </font>
      <fill>
        <patternFill>
          <bgColor rgb="FFFADBD8"/>
        </patternFill>
      </fill>
    </dxf>
    <dxf>
      <font>
        <color rgb="FF1E8449"/>
      </font>
      <fill>
        <patternFill>
          <bgColor rgb="FFD5F5E3"/>
        </patternFill>
      </fill>
    </dxf>
    <dxf>
      <fill>
        <patternFill>
          <bgColor rgb="FFF2F7F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Venta vs Meta por Vendedor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</c:v>
          </c:tx>
          <c:spPr>
            <a:solidFill>
              <a:srgbClr val="2D5F8A"/>
            </a:solidFill>
          </c:spPr>
          <c:cat>
            <c:strRef>
              <c:f>'Detalle Q1 2026'!$K$3:$K$22</c:f>
              <c:strCache>
                <c:ptCount val="20"/>
                <c:pt idx="0">
                  <c:v>Francisco Ríos</c:v>
                </c:pt>
                <c:pt idx="1">
                  <c:v>Diego Herrera</c:v>
                </c:pt>
                <c:pt idx="2">
                  <c:v>Carlos Ruiz</c:v>
                </c:pt>
                <c:pt idx="3">
                  <c:v>Javier Castro</c:v>
                </c:pt>
                <c:pt idx="4">
                  <c:v>Miguel Flores</c:v>
                </c:pt>
                <c:pt idx="5">
                  <c:v>Marta López</c:v>
                </c:pt>
                <c:pt idx="6">
                  <c:v>Ana García</c:v>
                </c:pt>
                <c:pt idx="7">
                  <c:v>Isabel Torres</c:v>
                </c:pt>
                <c:pt idx="8">
                  <c:v>Héctor Romero</c:v>
                </c:pt>
                <c:pt idx="9">
                  <c:v>Roberto Silva</c:v>
                </c:pt>
                <c:pt idx="10">
                  <c:v>Andrés Reyes</c:v>
                </c:pt>
                <c:pt idx="11">
                  <c:v>Elena Díaz</c:v>
                </c:pt>
                <c:pt idx="12">
                  <c:v>Laura Vega</c:v>
                </c:pt>
                <c:pt idx="13">
                  <c:v>Patricia Mora</c:v>
                </c:pt>
                <c:pt idx="14">
                  <c:v>Valentina Cruz</c:v>
                </c:pt>
                <c:pt idx="15">
                  <c:v>Sofía Vargas</c:v>
                </c:pt>
                <c:pt idx="16">
                  <c:v>Carmen Medina</c:v>
                </c:pt>
                <c:pt idx="17">
                  <c:v>Luis Martínez</c:v>
                </c:pt>
                <c:pt idx="18">
                  <c:v>Pedro Sánchez</c:v>
                </c:pt>
                <c:pt idx="19">
                  <c:v>Adriana Ponce</c:v>
                </c:pt>
              </c:strCache>
            </c:strRef>
          </c:cat>
          <c:val>
            <c:numRef>
              <c:f>'Detalle Q1 2026'!$N$3:$N$22</c:f>
              <c:numCache>
                <c:formatCode>General</c:formatCode>
                <c:ptCount val="20"/>
                <c:pt idx="0">
                  <c:v>102000</c:v>
                </c:pt>
                <c:pt idx="1">
                  <c:v>95000</c:v>
                </c:pt>
                <c:pt idx="2">
                  <c:v>74000</c:v>
                </c:pt>
                <c:pt idx="3">
                  <c:v>58000</c:v>
                </c:pt>
                <c:pt idx="4">
                  <c:v>43000</c:v>
                </c:pt>
                <c:pt idx="5">
                  <c:v>91000</c:v>
                </c:pt>
                <c:pt idx="6">
                  <c:v>85000</c:v>
                </c:pt>
                <c:pt idx="7">
                  <c:v>78000</c:v>
                </c:pt>
                <c:pt idx="8">
                  <c:v>77000</c:v>
                </c:pt>
                <c:pt idx="9">
                  <c:v>67000</c:v>
                </c:pt>
                <c:pt idx="10">
                  <c:v>49000</c:v>
                </c:pt>
                <c:pt idx="11">
                  <c:v>110000</c:v>
                </c:pt>
                <c:pt idx="12">
                  <c:v>96000</c:v>
                </c:pt>
                <c:pt idx="13">
                  <c:v>72000</c:v>
                </c:pt>
                <c:pt idx="14">
                  <c:v>63000</c:v>
                </c:pt>
                <c:pt idx="15">
                  <c:v>88000</c:v>
                </c:pt>
                <c:pt idx="16">
                  <c:v>81000</c:v>
                </c:pt>
                <c:pt idx="17">
                  <c:v>62000</c:v>
                </c:pt>
                <c:pt idx="18">
                  <c:v>55000</c:v>
                </c:pt>
                <c:pt idx="19">
                  <c:v>41000</c:v>
                </c:pt>
              </c:numCache>
            </c:numRef>
          </c:val>
        </c:ser>
        <c:ser>
          <c:idx val="1"/>
          <c:order val="1"/>
          <c:tx>
            <c:v>meta</c:v>
          </c:tx>
          <c:spPr>
            <a:solidFill>
              <a:srgbClr val="E67E22"/>
            </a:solidFill>
          </c:spPr>
          <c:cat>
            <c:strRef>
              <c:f>'Detalle Q1 2026'!$K$3:$K$22</c:f>
              <c:strCache>
                <c:ptCount val="20"/>
                <c:pt idx="0">
                  <c:v>Francisco Ríos</c:v>
                </c:pt>
                <c:pt idx="1">
                  <c:v>Diego Herrera</c:v>
                </c:pt>
                <c:pt idx="2">
                  <c:v>Carlos Ruiz</c:v>
                </c:pt>
                <c:pt idx="3">
                  <c:v>Javier Castro</c:v>
                </c:pt>
                <c:pt idx="4">
                  <c:v>Miguel Flores</c:v>
                </c:pt>
                <c:pt idx="5">
                  <c:v>Marta López</c:v>
                </c:pt>
                <c:pt idx="6">
                  <c:v>Ana García</c:v>
                </c:pt>
                <c:pt idx="7">
                  <c:v>Isabel Torres</c:v>
                </c:pt>
                <c:pt idx="8">
                  <c:v>Héctor Romero</c:v>
                </c:pt>
                <c:pt idx="9">
                  <c:v>Roberto Silva</c:v>
                </c:pt>
                <c:pt idx="10">
                  <c:v>Andrés Reyes</c:v>
                </c:pt>
                <c:pt idx="11">
                  <c:v>Elena Díaz</c:v>
                </c:pt>
                <c:pt idx="12">
                  <c:v>Laura Vega</c:v>
                </c:pt>
                <c:pt idx="13">
                  <c:v>Patricia Mora</c:v>
                </c:pt>
                <c:pt idx="14">
                  <c:v>Valentina Cruz</c:v>
                </c:pt>
                <c:pt idx="15">
                  <c:v>Sofía Vargas</c:v>
                </c:pt>
                <c:pt idx="16">
                  <c:v>Carmen Medina</c:v>
                </c:pt>
                <c:pt idx="17">
                  <c:v>Luis Martínez</c:v>
                </c:pt>
                <c:pt idx="18">
                  <c:v>Pedro Sánchez</c:v>
                </c:pt>
                <c:pt idx="19">
                  <c:v>Adriana Ponce</c:v>
                </c:pt>
              </c:strCache>
            </c:strRef>
          </c:cat>
          <c:val>
            <c:numRef>
              <c:f>'Detalle Q1 2026'!$J$3:$J$22</c:f>
              <c:numCache>
                <c:formatCode>General</c:formatCode>
                <c:ptCount val="20"/>
                <c:pt idx="0">
                  <c:v>95000</c:v>
                </c:pt>
                <c:pt idx="1">
                  <c:v>85000</c:v>
                </c:pt>
                <c:pt idx="2">
                  <c:v>75000</c:v>
                </c:pt>
                <c:pt idx="3">
                  <c:v>65000</c:v>
                </c:pt>
                <c:pt idx="4">
                  <c:v>60000</c:v>
                </c:pt>
                <c:pt idx="5">
                  <c:v>85000</c:v>
                </c:pt>
                <c:pt idx="6">
                  <c:v>80000</c:v>
                </c:pt>
                <c:pt idx="7">
                  <c:v>75000</c:v>
                </c:pt>
                <c:pt idx="8">
                  <c:v>72000</c:v>
                </c:pt>
                <c:pt idx="9">
                  <c:v>70000</c:v>
                </c:pt>
                <c:pt idx="10">
                  <c:v>55000</c:v>
                </c:pt>
                <c:pt idx="11">
                  <c:v>90000</c:v>
                </c:pt>
                <c:pt idx="12">
                  <c:v>88000</c:v>
                </c:pt>
                <c:pt idx="13">
                  <c:v>70000</c:v>
                </c:pt>
                <c:pt idx="14">
                  <c:v>68000</c:v>
                </c:pt>
                <c:pt idx="15">
                  <c:v>80000</c:v>
                </c:pt>
                <c:pt idx="16">
                  <c:v>78000</c:v>
                </c:pt>
                <c:pt idx="17">
                  <c:v>70000</c:v>
                </c:pt>
                <c:pt idx="18">
                  <c:v>65000</c:v>
                </c:pt>
                <c:pt idx="19">
                  <c:v>58000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Vendedor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Cumplimiento % por Vendedor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cumplimiento</c:v>
          </c:tx>
          <c:spPr>
            <a:solidFill>
              <a:srgbClr val="FF6B6B"/>
            </a:solidFill>
          </c:spPr>
          <c:marker>
            <c:symbol val="none"/>
          </c:marker>
          <c:cat>
            <c:strRef>
              <c:f>'Detalle Q1 2026'!$K$3:$K$22</c:f>
              <c:strCache>
                <c:ptCount val="20"/>
                <c:pt idx="0">
                  <c:v>Francisco Ríos</c:v>
                </c:pt>
                <c:pt idx="1">
                  <c:v>Diego Herrera</c:v>
                </c:pt>
                <c:pt idx="2">
                  <c:v>Carlos Ruiz</c:v>
                </c:pt>
                <c:pt idx="3">
                  <c:v>Javier Castro</c:v>
                </c:pt>
                <c:pt idx="4">
                  <c:v>Miguel Flores</c:v>
                </c:pt>
                <c:pt idx="5">
                  <c:v>Marta López</c:v>
                </c:pt>
                <c:pt idx="6">
                  <c:v>Ana García</c:v>
                </c:pt>
                <c:pt idx="7">
                  <c:v>Isabel Torres</c:v>
                </c:pt>
                <c:pt idx="8">
                  <c:v>Héctor Romero</c:v>
                </c:pt>
                <c:pt idx="9">
                  <c:v>Roberto Silva</c:v>
                </c:pt>
                <c:pt idx="10">
                  <c:v>Andrés Reyes</c:v>
                </c:pt>
                <c:pt idx="11">
                  <c:v>Elena Díaz</c:v>
                </c:pt>
                <c:pt idx="12">
                  <c:v>Laura Vega</c:v>
                </c:pt>
                <c:pt idx="13">
                  <c:v>Patricia Mora</c:v>
                </c:pt>
                <c:pt idx="14">
                  <c:v>Valentina Cruz</c:v>
                </c:pt>
                <c:pt idx="15">
                  <c:v>Sofía Vargas</c:v>
                </c:pt>
                <c:pt idx="16">
                  <c:v>Carmen Medina</c:v>
                </c:pt>
                <c:pt idx="17">
                  <c:v>Luis Martínez</c:v>
                </c:pt>
                <c:pt idx="18">
                  <c:v>Pedro Sánchez</c:v>
                </c:pt>
                <c:pt idx="19">
                  <c:v>Adriana Ponce</c:v>
                </c:pt>
              </c:strCache>
            </c:strRef>
          </c:cat>
          <c:val>
            <c:numRef>
              <c:f>'Detalle Q1 2026'!$C$3:$C$22</c:f>
              <c:numCache>
                <c:formatCode>General</c:formatCode>
                <c:ptCount val="20"/>
                <c:pt idx="0">
                  <c:v>107.4</c:v>
                </c:pt>
                <c:pt idx="1">
                  <c:v>111.8</c:v>
                </c:pt>
                <c:pt idx="2">
                  <c:v>98.7</c:v>
                </c:pt>
                <c:pt idx="3">
                  <c:v>89.2</c:v>
                </c:pt>
                <c:pt idx="4">
                  <c:v>71.7</c:v>
                </c:pt>
                <c:pt idx="5">
                  <c:v>107.1</c:v>
                </c:pt>
                <c:pt idx="6">
                  <c:v>106.3</c:v>
                </c:pt>
                <c:pt idx="7">
                  <c:v>104</c:v>
                </c:pt>
                <c:pt idx="8">
                  <c:v>106.9</c:v>
                </c:pt>
                <c:pt idx="9">
                  <c:v>95.7</c:v>
                </c:pt>
                <c:pt idx="10">
                  <c:v>89.1</c:v>
                </c:pt>
                <c:pt idx="11">
                  <c:v>122.2</c:v>
                </c:pt>
                <c:pt idx="12">
                  <c:v>109.1</c:v>
                </c:pt>
                <c:pt idx="13">
                  <c:v>102.9</c:v>
                </c:pt>
                <c:pt idx="14">
                  <c:v>92.6</c:v>
                </c:pt>
                <c:pt idx="15">
                  <c:v>110</c:v>
                </c:pt>
                <c:pt idx="16">
                  <c:v>103.8</c:v>
                </c:pt>
                <c:pt idx="17">
                  <c:v>88.6</c:v>
                </c:pt>
                <c:pt idx="18">
                  <c:v>84.6</c:v>
                </c:pt>
                <c:pt idx="19">
                  <c:v>70.7</c:v>
                </c:pt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Vendedor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6.7109375" customWidth="1"/>
    <col min="4" max="4" width="14.7109375" customWidth="1"/>
    <col min="5" max="5" width="6.7109375" customWidth="1"/>
    <col min="6" max="7" width="14.7109375" customWidth="1"/>
    <col min="8" max="8" width="12.7109375" customWidth="1"/>
    <col min="9" max="9" width="10.7109375" customWidth="1"/>
    <col min="10" max="10" width="14.7109375" customWidth="1"/>
    <col min="11" max="11" width="22.7109375" customWidth="1"/>
    <col min="12" max="12" width="18.7109375" customWidth="1"/>
    <col min="13" max="13" width="13.7109375" customWidth="1"/>
    <col min="14" max="14" width="14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>
      <c r="A3" t="s">
        <v>20</v>
      </c>
      <c r="B3" s="3">
        <v>10</v>
      </c>
      <c r="C3" s="4">
        <v>107.4</v>
      </c>
      <c r="D3" t="s">
        <v>21</v>
      </c>
      <c r="E3">
        <v>20</v>
      </c>
      <c r="F3" t="s">
        <v>22</v>
      </c>
      <c r="G3">
        <v>4</v>
      </c>
      <c r="H3">
        <v>2021</v>
      </c>
      <c r="I3">
        <v>52</v>
      </c>
      <c r="J3" s="5">
        <v>95000</v>
      </c>
      <c r="K3" t="s">
        <v>23</v>
      </c>
      <c r="L3" t="s">
        <v>24</v>
      </c>
      <c r="M3" t="s">
        <v>25</v>
      </c>
      <c r="N3" s="5">
        <v>102000</v>
      </c>
      <c r="O3">
        <f>SUM($N$3:N3)</f>
        <v>0</v>
      </c>
      <c r="P3">
        <f>N3*0.08</f>
        <v>0</v>
      </c>
      <c r="Q3">
        <f>RANK(N3,$N$3:$N$22,0)</f>
        <v>0</v>
      </c>
      <c r="R3">
        <f>N3/J3</f>
        <v>0</v>
      </c>
      <c r="S3">
        <f>IF(C3&gt;=100,"A","B")</f>
        <v>0</v>
      </c>
    </row>
    <row r="4" spans="1:19">
      <c r="A4" t="s">
        <v>20</v>
      </c>
      <c r="B4" s="3">
        <v>8</v>
      </c>
      <c r="C4" s="4">
        <v>111.8</v>
      </c>
      <c r="D4" t="s">
        <v>21</v>
      </c>
      <c r="E4">
        <v>16</v>
      </c>
      <c r="F4" t="s">
        <v>26</v>
      </c>
      <c r="G4">
        <v>3</v>
      </c>
      <c r="H4">
        <v>2022</v>
      </c>
      <c r="I4">
        <v>40</v>
      </c>
      <c r="J4" s="5">
        <v>85000</v>
      </c>
      <c r="K4" t="s">
        <v>27</v>
      </c>
      <c r="L4" t="s">
        <v>28</v>
      </c>
      <c r="M4" t="s">
        <v>25</v>
      </c>
      <c r="N4" s="5">
        <v>95000</v>
      </c>
      <c r="O4">
        <f>SUM($N$3:N4)</f>
        <v>0</v>
      </c>
      <c r="P4">
        <f>N4*0.08</f>
        <v>0</v>
      </c>
      <c r="Q4">
        <f>RANK(N4,$N$3:$N$22,0)</f>
        <v>0</v>
      </c>
      <c r="R4">
        <f>N4/J4</f>
        <v>0</v>
      </c>
      <c r="S4">
        <f>IF(C4&gt;=100,"A","B")</f>
        <v>0</v>
      </c>
    </row>
    <row r="5" spans="1:19">
      <c r="A5" t="s">
        <v>29</v>
      </c>
      <c r="B5" s="3">
        <v>9</v>
      </c>
      <c r="C5" s="4">
        <v>98.7</v>
      </c>
      <c r="D5" t="s">
        <v>30</v>
      </c>
      <c r="E5">
        <v>4</v>
      </c>
      <c r="F5" t="s">
        <v>31</v>
      </c>
      <c r="G5">
        <v>1</v>
      </c>
      <c r="H5">
        <v>2025</v>
      </c>
      <c r="I5">
        <v>12</v>
      </c>
      <c r="J5" s="5">
        <v>75000</v>
      </c>
      <c r="K5" t="s">
        <v>32</v>
      </c>
      <c r="L5" t="s">
        <v>33</v>
      </c>
      <c r="M5" t="s">
        <v>25</v>
      </c>
      <c r="N5" s="5">
        <v>74000</v>
      </c>
      <c r="O5">
        <f>SUM($N$3:N5)</f>
        <v>0</v>
      </c>
      <c r="P5">
        <f>N5*0.08</f>
        <v>0</v>
      </c>
      <c r="Q5">
        <f>RANK(N5,$N$3:$N$22,0)</f>
        <v>0</v>
      </c>
      <c r="R5">
        <f>N5/J5</f>
        <v>0</v>
      </c>
      <c r="S5">
        <f>IF(C5&gt;=100,"A","B")</f>
        <v>0</v>
      </c>
    </row>
    <row r="6" spans="1:19">
      <c r="A6" t="s">
        <v>34</v>
      </c>
      <c r="B6" s="3">
        <v>7</v>
      </c>
      <c r="C6" s="4">
        <v>89.2</v>
      </c>
      <c r="D6" t="s">
        <v>30</v>
      </c>
      <c r="E6">
        <v>12</v>
      </c>
      <c r="F6" t="s">
        <v>35</v>
      </c>
      <c r="G6">
        <v>1</v>
      </c>
      <c r="H6">
        <v>2025</v>
      </c>
      <c r="I6">
        <v>10</v>
      </c>
      <c r="J6" s="5">
        <v>65000</v>
      </c>
      <c r="K6" t="s">
        <v>36</v>
      </c>
      <c r="L6" t="s">
        <v>37</v>
      </c>
      <c r="M6" t="s">
        <v>25</v>
      </c>
      <c r="N6" s="5">
        <v>58000</v>
      </c>
      <c r="O6">
        <f>SUM($N$3:N6)</f>
        <v>0</v>
      </c>
      <c r="P6">
        <f>N6*0.08</f>
        <v>0</v>
      </c>
      <c r="Q6">
        <f>RANK(N6,$N$3:$N$22,0)</f>
        <v>0</v>
      </c>
      <c r="R6">
        <f>N6/J6</f>
        <v>0</v>
      </c>
      <c r="S6">
        <f>IF(C6&gt;=100,"A","B")</f>
        <v>0</v>
      </c>
    </row>
    <row r="7" spans="1:19">
      <c r="A7" t="s">
        <v>34</v>
      </c>
      <c r="B7" s="3">
        <v>6</v>
      </c>
      <c r="C7" s="4">
        <v>71.7</v>
      </c>
      <c r="D7" t="s">
        <v>30</v>
      </c>
      <c r="E7">
        <v>8</v>
      </c>
      <c r="F7" t="s">
        <v>38</v>
      </c>
      <c r="G7">
        <v>3</v>
      </c>
      <c r="H7">
        <v>2025</v>
      </c>
      <c r="I7">
        <v>6</v>
      </c>
      <c r="J7" s="5">
        <v>60000</v>
      </c>
      <c r="K7" t="s">
        <v>39</v>
      </c>
      <c r="L7" t="s">
        <v>40</v>
      </c>
      <c r="M7" t="s">
        <v>25</v>
      </c>
      <c r="N7" s="5">
        <v>43000</v>
      </c>
      <c r="O7">
        <f>SUM($N$3:N7)</f>
        <v>0</v>
      </c>
      <c r="P7">
        <f>N7*0.08</f>
        <v>0</v>
      </c>
      <c r="Q7">
        <f>RANK(N7,$N$3:$N$22,0)</f>
        <v>0</v>
      </c>
      <c r="R7">
        <f>N7/J7</f>
        <v>0</v>
      </c>
      <c r="S7">
        <f>IF(C7&gt;=100,"A","B")</f>
        <v>0</v>
      </c>
    </row>
    <row r="8" spans="1:19">
      <c r="A8" t="s">
        <v>20</v>
      </c>
      <c r="B8" s="3">
        <v>6</v>
      </c>
      <c r="C8" s="4">
        <v>107.1</v>
      </c>
      <c r="D8" t="s">
        <v>21</v>
      </c>
      <c r="E8">
        <v>3</v>
      </c>
      <c r="F8" t="s">
        <v>41</v>
      </c>
      <c r="G8">
        <v>1</v>
      </c>
      <c r="H8">
        <v>2023</v>
      </c>
      <c r="I8">
        <v>36</v>
      </c>
      <c r="J8" s="5">
        <v>85000</v>
      </c>
      <c r="K8" t="s">
        <v>42</v>
      </c>
      <c r="L8" t="s">
        <v>40</v>
      </c>
      <c r="M8" t="s">
        <v>43</v>
      </c>
      <c r="N8" s="5">
        <v>91000</v>
      </c>
      <c r="O8">
        <f>SUM($N$3:N8)</f>
        <v>0</v>
      </c>
      <c r="P8">
        <f>N8*0.08</f>
        <v>0</v>
      </c>
      <c r="Q8">
        <f>RANK(N8,$N$3:$N$22,0)</f>
        <v>0</v>
      </c>
      <c r="R8">
        <f>N8/J8</f>
        <v>0</v>
      </c>
      <c r="S8">
        <f>IF(C8&gt;=100,"A","B")</f>
        <v>0</v>
      </c>
    </row>
    <row r="9" spans="1:19">
      <c r="A9" t="s">
        <v>29</v>
      </c>
      <c r="B9" s="3">
        <v>8</v>
      </c>
      <c r="C9" s="4">
        <v>106.3</v>
      </c>
      <c r="D9" t="s">
        <v>21</v>
      </c>
      <c r="E9">
        <v>1</v>
      </c>
      <c r="F9" t="s">
        <v>44</v>
      </c>
      <c r="G9">
        <v>1</v>
      </c>
      <c r="H9">
        <v>2024</v>
      </c>
      <c r="I9">
        <v>24</v>
      </c>
      <c r="J9" s="5">
        <v>80000</v>
      </c>
      <c r="K9" t="s">
        <v>45</v>
      </c>
      <c r="L9" t="s">
        <v>28</v>
      </c>
      <c r="M9" t="s">
        <v>43</v>
      </c>
      <c r="N9" s="5">
        <v>85000</v>
      </c>
      <c r="O9">
        <f>SUM($N$3:N9)</f>
        <v>0</v>
      </c>
      <c r="P9">
        <f>N9*0.08</f>
        <v>0</v>
      </c>
      <c r="Q9">
        <f>RANK(N9,$N$3:$N$22,0)</f>
        <v>0</v>
      </c>
      <c r="R9">
        <f>N9/J9</f>
        <v>0</v>
      </c>
      <c r="S9">
        <f>IF(C9&gt;=100,"A","B")</f>
        <v>0</v>
      </c>
    </row>
    <row r="10" spans="1:19">
      <c r="A10" t="s">
        <v>20</v>
      </c>
      <c r="B10" s="3">
        <v>7</v>
      </c>
      <c r="C10" s="4">
        <v>104</v>
      </c>
      <c r="D10" t="s">
        <v>21</v>
      </c>
      <c r="E10">
        <v>7</v>
      </c>
      <c r="F10" t="s">
        <v>46</v>
      </c>
      <c r="G10">
        <v>3</v>
      </c>
      <c r="H10">
        <v>2023</v>
      </c>
      <c r="I10">
        <v>30</v>
      </c>
      <c r="J10" s="5">
        <v>75000</v>
      </c>
      <c r="K10" t="s">
        <v>47</v>
      </c>
      <c r="L10" t="s">
        <v>37</v>
      </c>
      <c r="M10" t="s">
        <v>43</v>
      </c>
      <c r="N10" s="5">
        <v>78000</v>
      </c>
      <c r="O10">
        <f>SUM($N$3:N10)</f>
        <v>0</v>
      </c>
      <c r="P10">
        <f>N10*0.08</f>
        <v>0</v>
      </c>
      <c r="Q10">
        <f>RANK(N10,$N$3:$N$22,0)</f>
        <v>0</v>
      </c>
      <c r="R10">
        <f>N10/J10</f>
        <v>0</v>
      </c>
      <c r="S10">
        <f>IF(C10&gt;=100,"A","B")</f>
        <v>0</v>
      </c>
    </row>
    <row r="11" spans="1:19">
      <c r="A11" t="s">
        <v>29</v>
      </c>
      <c r="B11" s="3">
        <v>6</v>
      </c>
      <c r="C11" s="4">
        <v>106.9</v>
      </c>
      <c r="D11" t="s">
        <v>21</v>
      </c>
      <c r="E11">
        <v>18</v>
      </c>
      <c r="F11" t="s">
        <v>48</v>
      </c>
      <c r="G11">
        <v>4</v>
      </c>
      <c r="H11">
        <v>2023</v>
      </c>
      <c r="I11">
        <v>26</v>
      </c>
      <c r="J11" s="5">
        <v>72000</v>
      </c>
      <c r="K11" t="s">
        <v>49</v>
      </c>
      <c r="L11" t="s">
        <v>40</v>
      </c>
      <c r="M11" t="s">
        <v>43</v>
      </c>
      <c r="N11" s="5">
        <v>77000</v>
      </c>
      <c r="O11">
        <f>SUM($N$3:N11)</f>
        <v>0</v>
      </c>
      <c r="P11">
        <f>N11*0.08</f>
        <v>0</v>
      </c>
      <c r="Q11">
        <f>RANK(N11,$N$3:$N$22,0)</f>
        <v>0</v>
      </c>
      <c r="R11">
        <f>N11/J11</f>
        <v>0</v>
      </c>
      <c r="S11">
        <f>IF(C11&gt;=100,"A","B")</f>
        <v>0</v>
      </c>
    </row>
    <row r="12" spans="1:19">
      <c r="A12" t="s">
        <v>29</v>
      </c>
      <c r="B12" s="3">
        <v>10</v>
      </c>
      <c r="C12" s="4">
        <v>95.7</v>
      </c>
      <c r="D12" t="s">
        <v>30</v>
      </c>
      <c r="E12">
        <v>10</v>
      </c>
      <c r="F12" t="s">
        <v>50</v>
      </c>
      <c r="G12">
        <v>4</v>
      </c>
      <c r="H12">
        <v>2024</v>
      </c>
      <c r="I12">
        <v>15</v>
      </c>
      <c r="J12" s="5">
        <v>70000</v>
      </c>
      <c r="K12" t="s">
        <v>51</v>
      </c>
      <c r="L12" t="s">
        <v>24</v>
      </c>
      <c r="M12" t="s">
        <v>43</v>
      </c>
      <c r="N12" s="5">
        <v>67000</v>
      </c>
      <c r="O12">
        <f>SUM($N$3:N12)</f>
        <v>0</v>
      </c>
      <c r="P12">
        <f>N12*0.08</f>
        <v>0</v>
      </c>
      <c r="Q12">
        <f>RANK(N12,$N$3:$N$22,0)</f>
        <v>0</v>
      </c>
      <c r="R12">
        <f>N12/J12</f>
        <v>0</v>
      </c>
      <c r="S12">
        <f>IF(C12&gt;=100,"A","B")</f>
        <v>0</v>
      </c>
    </row>
    <row r="13" spans="1:19">
      <c r="A13" t="s">
        <v>34</v>
      </c>
      <c r="B13" s="3">
        <v>9</v>
      </c>
      <c r="C13" s="4">
        <v>89.1</v>
      </c>
      <c r="D13" t="s">
        <v>30</v>
      </c>
      <c r="E13">
        <v>14</v>
      </c>
      <c r="F13" t="s">
        <v>52</v>
      </c>
      <c r="G13">
        <v>3</v>
      </c>
      <c r="H13">
        <v>2025</v>
      </c>
      <c r="I13">
        <v>5</v>
      </c>
      <c r="J13" s="5">
        <v>55000</v>
      </c>
      <c r="K13" t="s">
        <v>53</v>
      </c>
      <c r="L13" t="s">
        <v>33</v>
      </c>
      <c r="M13" t="s">
        <v>43</v>
      </c>
      <c r="N13" s="5">
        <v>49000</v>
      </c>
      <c r="O13">
        <f>SUM($N$3:N13)</f>
        <v>0</v>
      </c>
      <c r="P13">
        <f>N13*0.08</f>
        <v>0</v>
      </c>
      <c r="Q13">
        <f>RANK(N13,$N$3:$N$22,0)</f>
        <v>0</v>
      </c>
      <c r="R13">
        <f>N13/J13</f>
        <v>0</v>
      </c>
      <c r="S13">
        <f>IF(C13&gt;=100,"A","B")</f>
        <v>0</v>
      </c>
    </row>
    <row r="14" spans="1:19">
      <c r="A14" t="s">
        <v>20</v>
      </c>
      <c r="B14" s="3">
        <v>10</v>
      </c>
      <c r="C14" s="4">
        <v>122.2</v>
      </c>
      <c r="D14" t="s">
        <v>21</v>
      </c>
      <c r="E14">
        <v>5</v>
      </c>
      <c r="F14" t="s">
        <v>54</v>
      </c>
      <c r="G14">
        <v>1</v>
      </c>
      <c r="H14">
        <v>2022</v>
      </c>
      <c r="I14">
        <v>48</v>
      </c>
      <c r="J14" s="5">
        <v>90000</v>
      </c>
      <c r="K14" t="s">
        <v>55</v>
      </c>
      <c r="L14" t="s">
        <v>24</v>
      </c>
      <c r="M14" t="s">
        <v>56</v>
      </c>
      <c r="N14" s="5">
        <v>110000</v>
      </c>
      <c r="O14">
        <f>SUM($N$3:N14)</f>
        <v>0</v>
      </c>
      <c r="P14">
        <f>N14*0.08</f>
        <v>0</v>
      </c>
      <c r="Q14">
        <f>RANK(N14,$N$3:$N$22,0)</f>
        <v>0</v>
      </c>
      <c r="R14">
        <f>N14/J14</f>
        <v>0</v>
      </c>
      <c r="S14">
        <f>IF(C14&gt;=100,"A","B")</f>
        <v>0</v>
      </c>
    </row>
    <row r="15" spans="1:19">
      <c r="A15" t="s">
        <v>20</v>
      </c>
      <c r="B15" s="3">
        <v>9</v>
      </c>
      <c r="C15" s="4">
        <v>109.1</v>
      </c>
      <c r="D15" t="s">
        <v>21</v>
      </c>
      <c r="E15">
        <v>9</v>
      </c>
      <c r="F15" t="s">
        <v>57</v>
      </c>
      <c r="G15">
        <v>3</v>
      </c>
      <c r="H15">
        <v>2022</v>
      </c>
      <c r="I15">
        <v>42</v>
      </c>
      <c r="J15" s="5">
        <v>88000</v>
      </c>
      <c r="K15" t="s">
        <v>58</v>
      </c>
      <c r="L15" t="s">
        <v>33</v>
      </c>
      <c r="M15" t="s">
        <v>56</v>
      </c>
      <c r="N15" s="5">
        <v>96000</v>
      </c>
      <c r="O15">
        <f>SUM($N$3:N15)</f>
        <v>0</v>
      </c>
      <c r="P15">
        <f>N15*0.08</f>
        <v>0</v>
      </c>
      <c r="Q15">
        <f>RANK(N15,$N$3:$N$22,0)</f>
        <v>0</v>
      </c>
      <c r="R15">
        <f>N15/J15</f>
        <v>0</v>
      </c>
      <c r="S15">
        <f>IF(C15&gt;=100,"A","B")</f>
        <v>0</v>
      </c>
    </row>
    <row r="16" spans="1:19">
      <c r="A16" t="s">
        <v>29</v>
      </c>
      <c r="B16" s="3">
        <v>6</v>
      </c>
      <c r="C16" s="4">
        <v>102.9</v>
      </c>
      <c r="D16" t="s">
        <v>21</v>
      </c>
      <c r="E16">
        <v>13</v>
      </c>
      <c r="F16" t="s">
        <v>59</v>
      </c>
      <c r="G16">
        <v>3</v>
      </c>
      <c r="H16">
        <v>2023</v>
      </c>
      <c r="I16">
        <v>28</v>
      </c>
      <c r="J16" s="5">
        <v>70000</v>
      </c>
      <c r="K16" t="s">
        <v>60</v>
      </c>
      <c r="L16" t="s">
        <v>40</v>
      </c>
      <c r="M16" t="s">
        <v>56</v>
      </c>
      <c r="N16" s="5">
        <v>72000</v>
      </c>
      <c r="O16">
        <f>SUM($N$3:N16)</f>
        <v>0</v>
      </c>
      <c r="P16">
        <f>N16*0.08</f>
        <v>0</v>
      </c>
      <c r="Q16">
        <f>RANK(N16,$N$3:$N$22,0)</f>
        <v>0</v>
      </c>
      <c r="R16">
        <f>N16/J16</f>
        <v>0</v>
      </c>
      <c r="S16">
        <f>IF(C16&gt;=100,"A","B")</f>
        <v>0</v>
      </c>
    </row>
    <row r="17" spans="1:19">
      <c r="A17" t="s">
        <v>29</v>
      </c>
      <c r="B17" s="3">
        <v>7</v>
      </c>
      <c r="C17" s="4">
        <v>92.6</v>
      </c>
      <c r="D17" t="s">
        <v>30</v>
      </c>
      <c r="E17">
        <v>17</v>
      </c>
      <c r="F17" t="s">
        <v>61</v>
      </c>
      <c r="G17">
        <v>4</v>
      </c>
      <c r="H17">
        <v>2024</v>
      </c>
      <c r="I17">
        <v>14</v>
      </c>
      <c r="J17" s="5">
        <v>68000</v>
      </c>
      <c r="K17" t="s">
        <v>62</v>
      </c>
      <c r="L17" t="s">
        <v>37</v>
      </c>
      <c r="M17" t="s">
        <v>56</v>
      </c>
      <c r="N17" s="5">
        <v>63000</v>
      </c>
      <c r="O17">
        <f>SUM($N$3:N17)</f>
        <v>0</v>
      </c>
      <c r="P17">
        <f>N17*0.08</f>
        <v>0</v>
      </c>
      <c r="Q17">
        <f>RANK(N17,$N$3:$N$22,0)</f>
        <v>0</v>
      </c>
      <c r="R17">
        <f>N17/J17</f>
        <v>0</v>
      </c>
      <c r="S17">
        <f>IF(C17&gt;=100,"A","B")</f>
        <v>0</v>
      </c>
    </row>
    <row r="18" spans="1:19">
      <c r="A18" t="s">
        <v>20</v>
      </c>
      <c r="B18" s="3">
        <v>10</v>
      </c>
      <c r="C18" s="4">
        <v>110</v>
      </c>
      <c r="D18" t="s">
        <v>21</v>
      </c>
      <c r="E18">
        <v>15</v>
      </c>
      <c r="F18" t="s">
        <v>63</v>
      </c>
      <c r="G18">
        <v>2</v>
      </c>
      <c r="H18">
        <v>2023</v>
      </c>
      <c r="I18">
        <v>33</v>
      </c>
      <c r="J18" s="5">
        <v>80000</v>
      </c>
      <c r="K18" t="s">
        <v>64</v>
      </c>
      <c r="L18" t="s">
        <v>24</v>
      </c>
      <c r="M18" t="s">
        <v>65</v>
      </c>
      <c r="N18" s="5">
        <v>88000</v>
      </c>
      <c r="O18">
        <f>SUM($N$3:N18)</f>
        <v>0</v>
      </c>
      <c r="P18">
        <f>N18*0.08</f>
        <v>0</v>
      </c>
      <c r="Q18">
        <f>RANK(N18,$N$3:$N$22,0)</f>
        <v>0</v>
      </c>
      <c r="R18">
        <f>N18/J18</f>
        <v>0</v>
      </c>
      <c r="S18">
        <f>IF(C18&gt;=100,"A","B")</f>
        <v>0</v>
      </c>
    </row>
    <row r="19" spans="1:19">
      <c r="A19" t="s">
        <v>29</v>
      </c>
      <c r="B19" s="3">
        <v>8</v>
      </c>
      <c r="C19" s="4">
        <v>103.8</v>
      </c>
      <c r="D19" t="s">
        <v>21</v>
      </c>
      <c r="E19">
        <v>11</v>
      </c>
      <c r="F19" t="s">
        <v>66</v>
      </c>
      <c r="G19">
        <v>1</v>
      </c>
      <c r="H19">
        <v>2024</v>
      </c>
      <c r="I19">
        <v>22</v>
      </c>
      <c r="J19" s="5">
        <v>78000</v>
      </c>
      <c r="K19" t="s">
        <v>67</v>
      </c>
      <c r="L19" t="s">
        <v>28</v>
      </c>
      <c r="M19" t="s">
        <v>65</v>
      </c>
      <c r="N19" s="5">
        <v>81000</v>
      </c>
      <c r="O19">
        <f>SUM($N$3:N19)</f>
        <v>0</v>
      </c>
      <c r="P19">
        <f>N19*0.08</f>
        <v>0</v>
      </c>
      <c r="Q19">
        <f>RANK(N19,$N$3:$N$22,0)</f>
        <v>0</v>
      </c>
      <c r="R19">
        <f>N19/J19</f>
        <v>0</v>
      </c>
      <c r="S19">
        <f>IF(C19&gt;=100,"A","B")</f>
        <v>0</v>
      </c>
    </row>
    <row r="20" spans="1:19">
      <c r="A20" t="s">
        <v>29</v>
      </c>
      <c r="B20" s="3">
        <v>7</v>
      </c>
      <c r="C20" s="4">
        <v>88.6</v>
      </c>
      <c r="D20" t="s">
        <v>30</v>
      </c>
      <c r="E20">
        <v>2</v>
      </c>
      <c r="F20" t="s">
        <v>68</v>
      </c>
      <c r="G20">
        <v>3</v>
      </c>
      <c r="H20">
        <v>2024</v>
      </c>
      <c r="I20">
        <v>18</v>
      </c>
      <c r="J20" s="5">
        <v>70000</v>
      </c>
      <c r="K20" t="s">
        <v>69</v>
      </c>
      <c r="L20" t="s">
        <v>37</v>
      </c>
      <c r="M20" t="s">
        <v>65</v>
      </c>
      <c r="N20" s="5">
        <v>62000</v>
      </c>
      <c r="O20">
        <f>SUM($N$3:N20)</f>
        <v>0</v>
      </c>
      <c r="P20">
        <f>N20*0.08</f>
        <v>0</v>
      </c>
      <c r="Q20">
        <f>RANK(N20,$N$3:$N$22,0)</f>
        <v>0</v>
      </c>
      <c r="R20">
        <f>N20/J20</f>
        <v>0</v>
      </c>
      <c r="S20">
        <f>IF(C20&gt;=100,"A","B")</f>
        <v>0</v>
      </c>
    </row>
    <row r="21" spans="1:19">
      <c r="A21" t="s">
        <v>34</v>
      </c>
      <c r="B21" s="3">
        <v>8</v>
      </c>
      <c r="C21" s="4">
        <v>84.6</v>
      </c>
      <c r="D21" t="s">
        <v>30</v>
      </c>
      <c r="E21">
        <v>6</v>
      </c>
      <c r="F21" t="s">
        <v>70</v>
      </c>
      <c r="G21">
        <v>2</v>
      </c>
      <c r="H21">
        <v>2025</v>
      </c>
      <c r="I21">
        <v>8</v>
      </c>
      <c r="J21" s="5">
        <v>65000</v>
      </c>
      <c r="K21" t="s">
        <v>71</v>
      </c>
      <c r="L21" t="s">
        <v>28</v>
      </c>
      <c r="M21" t="s">
        <v>65</v>
      </c>
      <c r="N21" s="5">
        <v>55000</v>
      </c>
      <c r="O21">
        <f>SUM($N$3:N21)</f>
        <v>0</v>
      </c>
      <c r="P21">
        <f>N21*0.08</f>
        <v>0</v>
      </c>
      <c r="Q21">
        <f>RANK(N21,$N$3:$N$22,0)</f>
        <v>0</v>
      </c>
      <c r="R21">
        <f>N21/J21</f>
        <v>0</v>
      </c>
      <c r="S21">
        <f>IF(C21&gt;=100,"A","B")</f>
        <v>0</v>
      </c>
    </row>
    <row r="22" spans="1:19">
      <c r="A22" t="s">
        <v>34</v>
      </c>
      <c r="B22" s="3">
        <v>9</v>
      </c>
      <c r="C22" s="4">
        <v>70.7</v>
      </c>
      <c r="D22" t="s">
        <v>30</v>
      </c>
      <c r="E22">
        <v>19</v>
      </c>
      <c r="F22" t="s">
        <v>72</v>
      </c>
      <c r="G22">
        <v>3</v>
      </c>
      <c r="H22">
        <v>2025</v>
      </c>
      <c r="I22">
        <v>4</v>
      </c>
      <c r="J22" s="5">
        <v>58000</v>
      </c>
      <c r="K22" t="s">
        <v>73</v>
      </c>
      <c r="L22" t="s">
        <v>33</v>
      </c>
      <c r="M22" t="s">
        <v>65</v>
      </c>
      <c r="N22" s="5">
        <v>41000</v>
      </c>
      <c r="O22">
        <f>SUM($N$3:N22)</f>
        <v>0</v>
      </c>
      <c r="P22">
        <f>N22*0.08</f>
        <v>0</v>
      </c>
      <c r="Q22">
        <f>RANK(N22,$N$3:$N$22,0)</f>
        <v>0</v>
      </c>
      <c r="R22">
        <f>N22/J22</f>
        <v>0</v>
      </c>
      <c r="S22">
        <f>IF(C22&gt;=100,"A","B")</f>
        <v>0</v>
      </c>
    </row>
    <row r="23" spans="1:19">
      <c r="A23" s="6" t="s">
        <v>74</v>
      </c>
      <c r="B23" s="6"/>
      <c r="C23" s="6"/>
      <c r="D23" s="6"/>
      <c r="E23" s="6"/>
      <c r="F23" s="6"/>
      <c r="G23" s="6"/>
      <c r="H23" s="6"/>
      <c r="I23" s="6"/>
      <c r="J23" s="7">
        <v>1484000</v>
      </c>
      <c r="K23" s="6"/>
      <c r="L23" s="6"/>
      <c r="M23" s="6"/>
      <c r="N23" s="7">
        <v>1487000</v>
      </c>
    </row>
  </sheetData>
  <autoFilter ref="A2:N22"/>
  <mergeCells count="1">
    <mergeCell ref="A1:N1"/>
  </mergeCells>
  <conditionalFormatting sqref="A3:N22">
    <cfRule type="expression" dxfId="4" priority="1">
      <formula>MOD(ROW()-2,2)=0</formula>
    </cfRule>
  </conditionalFormatting>
  <conditionalFormatting sqref="C3:C22">
    <cfRule type="cellIs" dxfId="0" priority="2" operator="greaterThanOrEqual">
      <formula>100</formula>
    </cfRule>
    <cfRule type="cellIs" dxfId="1" priority="3" operator="lessThan">
      <formula>85</formula>
    </cfRule>
    <cfRule type="cellIs" dxfId="2" priority="4" operator="lessThan">
      <formula>75</formula>
    </cfRule>
  </conditionalFormatting>
  <conditionalFormatting sqref="D3:D22">
    <cfRule type="expression" dxfId="3" priority="5">
      <formula>$D3="Cumple"</formula>
    </cfRule>
    <cfRule type="expression" dxfId="2" priority="6">
      <formula>$D3="Bajo meta"</formula>
    </cfRule>
  </conditionalFormatting>
  <conditionalFormatting sqref="N3:N22">
    <cfRule type="cellIs" dxfId="3" priority="7" operator="greaterThanOrEqual">
      <formula>90000</formula>
    </cfRule>
    <cfRule type="cellIs" dxfId="2" priority="8" operator="lessThan">
      <formula>55000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Q1 2026</vt:lpstr>
      <vt:lpstr>Chart Venta-Meta</vt:lpstr>
      <vt:lpstr>Chart Cumplimiento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2026-05-24T02:50:12Z</dcterms:created>
  <dcterms:modified xsi:type="dcterms:W3CDTF">2026-05-24T02:50:12Z</dcterms:modified>
</cp:coreProperties>
</file>